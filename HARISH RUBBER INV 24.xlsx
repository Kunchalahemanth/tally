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7c80cfb3309b53/Desktop/PHOENIX/"/>
    </mc:Choice>
  </mc:AlternateContent>
  <xr:revisionPtr revIDLastSave="152" documentId="8_{F760393A-1669-4E89-9B64-230ED9153471}" xr6:coauthVersionLast="47" xr6:coauthVersionMax="47" xr10:uidLastSave="{863CCCD4-BFF5-4344-9834-DEB43906BB5E}"/>
  <bookViews>
    <workbookView xWindow="-108" yWindow="-108" windowWidth="23256" windowHeight="12456" tabRatio="603" xr2:uid="{00000000-000D-0000-FFFF-FFFF00000000}"/>
  </bookViews>
  <sheets>
    <sheet name="Sheet1" sheetId="46" r:id="rId1"/>
  </sheets>
  <definedNames>
    <definedName name="_xlnm.Print_Area" localSheetId="0">Sheet1!$A$1:$J$42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46" l="1"/>
  <c r="L28" i="46" s="1"/>
  <c r="G22" i="46"/>
  <c r="G21" i="46" s="1"/>
  <c r="L27" i="46" s="1"/>
  <c r="H27" i="46" s="1"/>
  <c r="H25" i="46" l="1"/>
  <c r="H28" i="46"/>
  <c r="H31" i="46" l="1"/>
</calcChain>
</file>

<file path=xl/sharedStrings.xml><?xml version="1.0" encoding="utf-8"?>
<sst xmlns="http://schemas.openxmlformats.org/spreadsheetml/2006/main" count="55" uniqueCount="48">
  <si>
    <r>
      <rPr>
        <b/>
        <sz val="13"/>
        <rFont val="Cambria"/>
        <charset val="134"/>
      </rPr>
      <t>PHOENIX PLASTOWARES PVT. LTD</t>
    </r>
  </si>
  <si>
    <t>SY.NO. 30/5, 30/EE, SRP PROPERTIES, LOGISITICS PARK, MANOHARABAD, MEDAK, TELANGANA - 502336</t>
  </si>
  <si>
    <t>EMAIL : marketing@phoenixplastowares.com</t>
  </si>
  <si>
    <t>GSTIN: 36AANCP4627L1ZV</t>
  </si>
  <si>
    <t>Invoice No.:</t>
  </si>
  <si>
    <t>Buyers Order Number</t>
  </si>
  <si>
    <t>Invoice Date:</t>
  </si>
  <si>
    <t>Order Date</t>
  </si>
  <si>
    <t>Reverse Charge (Y/N):</t>
  </si>
  <si>
    <t>N</t>
  </si>
  <si>
    <t>Ready Date</t>
  </si>
  <si>
    <t>State:</t>
  </si>
  <si>
    <t>TELANGANA</t>
  </si>
  <si>
    <t>Code:</t>
  </si>
  <si>
    <t>BILLING ADDRESS</t>
  </si>
  <si>
    <t>SHIPPING ADDRESS</t>
  </si>
  <si>
    <t>CUSTOMER GSTIN:</t>
  </si>
  <si>
    <t>Contact:</t>
  </si>
  <si>
    <t>SL</t>
  </si>
  <si>
    <t>HSN CODE</t>
  </si>
  <si>
    <t>DESCRIPTION</t>
  </si>
  <si>
    <t>QTY (Pcs)</t>
  </si>
  <si>
    <t>UNIT PRICE</t>
  </si>
  <si>
    <t>TOTAL PRICE</t>
  </si>
  <si>
    <t>Remarks</t>
  </si>
  <si>
    <t>Total Invoice amount in words</t>
  </si>
  <si>
    <t>Total Amount before GST</t>
  </si>
  <si>
    <t>Add: IGST</t>
  </si>
  <si>
    <t>ROUND OFF</t>
  </si>
  <si>
    <t>Total Amount after Tax</t>
  </si>
  <si>
    <t>Bank Details</t>
  </si>
  <si>
    <t>Certified that the particulars given above are true and correct</t>
  </si>
  <si>
    <t>Bank A/C Name : AXIS BANK LTD
Bank A/C                  :       922020066189634
Bank IFSC                :        UTIB0001319
Beneficiary name : PHOENIX PLASTOWARES PRIVATE LIMITED</t>
  </si>
  <si>
    <t>For PHOENIX PLASTOWARES PVT. LTD</t>
  </si>
  <si>
    <t>TAX INVOICE</t>
  </si>
  <si>
    <t>MOB : + 91 9059534979</t>
  </si>
  <si>
    <t>G V R Enterprises</t>
  </si>
  <si>
    <t xml:space="preserve">3rd Floor , Flat No 2-3-724/7/1/1
D22/23 3rd Floor </t>
  </si>
  <si>
    <t>Amberpet Mob 9398660268</t>
  </si>
  <si>
    <t>Hyderabad 500013</t>
  </si>
  <si>
    <t>36AAKFG1110F1Z4</t>
  </si>
  <si>
    <t>TS</t>
  </si>
  <si>
    <t>PPPL/25-26/025</t>
  </si>
  <si>
    <t>02.06.2025</t>
  </si>
  <si>
    <t>Straight Bottle - 125ml</t>
  </si>
  <si>
    <t>Straight Bottle - 250ml</t>
  </si>
  <si>
    <t>PP Spoon</t>
  </si>
  <si>
    <t>Total Invoice Amount :  NINTY NINE THOUSAND SEVEN HUNDRED FORTY ONE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</si>
</sst>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17">
    <font>
      <sz val="10"/>
      <color rgb="FF000000"/>
      <name val="Times New Roman"/>
      <charset val="204"/>
    </font>
    <font>
      <b/>
      <sz val="13"/>
      <name val="Cambria"/>
      <charset val="134"/>
    </font>
    <font>
      <b/>
      <sz val="10"/>
      <name val="Cambria"/>
      <charset val="134"/>
    </font>
    <font>
      <b/>
      <sz val="12"/>
      <name val="Cambria"/>
      <charset val="134"/>
    </font>
    <font>
      <b/>
      <sz val="12"/>
      <color rgb="FF000000"/>
      <name val="Cambria"/>
      <charset val="134"/>
    </font>
    <font>
      <sz val="12"/>
      <color rgb="FF000000"/>
      <name val="Times New Roman"/>
      <charset val="134"/>
    </font>
    <font>
      <b/>
      <u/>
      <sz val="12"/>
      <name val="Cambria"/>
      <charset val="134"/>
    </font>
    <font>
      <b/>
      <sz val="12"/>
      <name val="Calibri"/>
      <charset val="134"/>
    </font>
    <font>
      <sz val="12"/>
      <name val="Cambria"/>
      <charset val="134"/>
    </font>
    <font>
      <b/>
      <sz val="12"/>
      <name val="Calibri"/>
      <family val="2"/>
    </font>
    <font>
      <b/>
      <sz val="12"/>
      <color rgb="FF000000"/>
      <name val="Calibri"/>
      <family val="2"/>
    </font>
    <font>
      <b/>
      <sz val="13"/>
      <name val="Cambria"/>
      <family val="1"/>
    </font>
    <font>
      <b/>
      <sz val="12"/>
      <color rgb="FF393838"/>
      <name val="Cambria"/>
      <family val="1"/>
    </font>
    <font>
      <b/>
      <sz val="12"/>
      <name val="Cambria"/>
      <family val="1"/>
    </font>
    <font>
      <b/>
      <sz val="12"/>
      <color rgb="FF000000"/>
      <name val="Cambria"/>
      <family val="1"/>
    </font>
    <font>
      <sz val="16"/>
      <color rgb="FF000000"/>
      <name val="Times New Roman"/>
      <family val="1"/>
    </font>
    <font>
      <b/>
      <sz val="1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 applyAlignment="1">
      <alignment horizontal="left" vertical="top"/>
    </xf>
    <xf numFmtId="0" fontId="3" fillId="0" borderId="9" xfId="0" applyFont="1" applyBorder="1" applyAlignment="1">
      <alignment horizontal="left" wrapText="1"/>
    </xf>
    <xf numFmtId="4" fontId="3" fillId="0" borderId="11" xfId="0" applyNumberFormat="1" applyFont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9" fontId="14" fillId="0" borderId="17" xfId="0" applyNumberFormat="1" applyFont="1" applyBorder="1" applyAlignment="1">
      <alignment horizontal="center" vertical="center" shrinkToFit="1"/>
    </xf>
    <xf numFmtId="4" fontId="14" fillId="0" borderId="1" xfId="0" applyNumberFormat="1" applyFont="1" applyBorder="1" applyAlignment="1">
      <alignment vertical="center" shrinkToFit="1"/>
    </xf>
    <xf numFmtId="4" fontId="14" fillId="0" borderId="11" xfId="0" applyNumberFormat="1" applyFont="1" applyBorder="1" applyAlignment="1">
      <alignment horizontal="right" vertical="top" shrinkToFit="1"/>
    </xf>
    <xf numFmtId="0" fontId="9" fillId="4" borderId="45" xfId="0" applyFont="1" applyFill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 shrinkToFit="1"/>
    </xf>
    <xf numFmtId="1" fontId="10" fillId="0" borderId="6" xfId="0" applyNumberFormat="1" applyFont="1" applyBorder="1" applyAlignment="1">
      <alignment horizontal="center" vertical="center" shrinkToFit="1"/>
    </xf>
    <xf numFmtId="1" fontId="10" fillId="0" borderId="8" xfId="0" applyNumberFormat="1" applyFont="1" applyBorder="1" applyAlignment="1">
      <alignment horizontal="center" vertical="center" shrinkToFit="1"/>
    </xf>
    <xf numFmtId="0" fontId="15" fillId="0" borderId="9" xfId="0" applyFont="1" applyBorder="1" applyAlignment="1">
      <alignment horizontal="left" vertical="top"/>
    </xf>
    <xf numFmtId="4" fontId="14" fillId="0" borderId="0" xfId="0" applyNumberFormat="1" applyFont="1" applyAlignment="1">
      <alignment vertical="center" shrinkToFit="1"/>
    </xf>
    <xf numFmtId="0" fontId="0" fillId="5" borderId="0" xfId="0" applyFill="1" applyAlignment="1">
      <alignment horizontal="left" vertical="top"/>
    </xf>
    <xf numFmtId="4" fontId="0" fillId="5" borderId="0" xfId="0" applyNumberFormat="1" applyFill="1" applyAlignment="1">
      <alignment horizontal="left" vertical="top"/>
    </xf>
    <xf numFmtId="0" fontId="11" fillId="3" borderId="3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quotePrefix="1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 wrapText="1"/>
    </xf>
    <xf numFmtId="164" fontId="4" fillId="0" borderId="6" xfId="0" applyNumberFormat="1" applyFont="1" applyBorder="1" applyAlignment="1">
      <alignment horizontal="left" vertical="center" shrinkToFit="1"/>
    </xf>
    <xf numFmtId="164" fontId="4" fillId="0" borderId="7" xfId="0" applyNumberFormat="1" applyFont="1" applyBorder="1" applyAlignment="1">
      <alignment horizontal="left" vertical="center" shrinkToFit="1"/>
    </xf>
    <xf numFmtId="0" fontId="3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3" fillId="0" borderId="9" xfId="0" quotePrefix="1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3" fillId="0" borderId="35" xfId="0" applyFont="1" applyBorder="1" applyAlignment="1">
      <alignment horizontal="left" wrapText="1"/>
    </xf>
    <xf numFmtId="0" fontId="3" fillId="0" borderId="41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0" fontId="3" fillId="0" borderId="28" xfId="0" applyFont="1" applyBorder="1" applyAlignment="1">
      <alignment horizontal="left" vertical="top" wrapText="1"/>
    </xf>
    <xf numFmtId="0" fontId="13" fillId="0" borderId="4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3" fillId="0" borderId="43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0" fontId="3" fillId="0" borderId="42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0" fontId="3" fillId="0" borderId="37" xfId="0" applyFont="1" applyBorder="1" applyAlignment="1">
      <alignment horizontal="left" vertical="top" wrapText="1"/>
    </xf>
    <xf numFmtId="0" fontId="3" fillId="0" borderId="38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1" fontId="12" fillId="0" borderId="9" xfId="0" quotePrefix="1" applyNumberFormat="1" applyFont="1" applyBorder="1" applyAlignment="1">
      <alignment horizontal="left" shrinkToFit="1"/>
    </xf>
    <xf numFmtId="1" fontId="12" fillId="0" borderId="9" xfId="0" applyNumberFormat="1" applyFont="1" applyBorder="1" applyAlignment="1">
      <alignment horizontal="left" shrinkToFit="1"/>
    </xf>
    <xf numFmtId="1" fontId="12" fillId="0" borderId="35" xfId="0" applyNumberFormat="1" applyFont="1" applyBorder="1" applyAlignment="1">
      <alignment horizontal="left" shrinkToFit="1"/>
    </xf>
    <xf numFmtId="0" fontId="5" fillId="0" borderId="38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4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46" xfId="0" applyFont="1" applyFill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 shrinkToFit="1"/>
    </xf>
    <xf numFmtId="2" fontId="10" fillId="0" borderId="18" xfId="0" applyNumberFormat="1" applyFont="1" applyBorder="1" applyAlignment="1">
      <alignment horizontal="center" vertical="center" shrinkToFit="1"/>
    </xf>
    <xf numFmtId="4" fontId="10" fillId="0" borderId="9" xfId="0" applyNumberFormat="1" applyFont="1" applyBorder="1" applyAlignment="1">
      <alignment horizontal="center" vertical="center" shrinkToFit="1"/>
    </xf>
    <xf numFmtId="9" fontId="10" fillId="0" borderId="9" xfId="0" applyNumberFormat="1" applyFont="1" applyBorder="1" applyAlignment="1">
      <alignment horizontal="center" vertical="center" shrinkToFit="1"/>
    </xf>
    <xf numFmtId="9" fontId="10" fillId="0" borderId="35" xfId="0" applyNumberFormat="1" applyFont="1" applyBorder="1" applyAlignment="1">
      <alignment horizontal="center" vertical="center" shrinkToFit="1"/>
    </xf>
    <xf numFmtId="0" fontId="3" fillId="0" borderId="4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47" xfId="0" applyFont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" fontId="3" fillId="0" borderId="23" xfId="0" applyNumberFormat="1" applyFont="1" applyBorder="1" applyAlignment="1">
      <alignment horizontal="center" vertical="center" wrapText="1"/>
    </xf>
    <xf numFmtId="4" fontId="3" fillId="0" borderId="24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4" fontId="3" fillId="0" borderId="25" xfId="0" applyNumberFormat="1" applyFont="1" applyBorder="1" applyAlignment="1">
      <alignment vertical="center" wrapText="1"/>
    </xf>
    <xf numFmtId="4" fontId="3" fillId="0" borderId="26" xfId="0" applyNumberFormat="1" applyFont="1" applyBorder="1" applyAlignment="1">
      <alignment vertical="center" wrapText="1"/>
    </xf>
    <xf numFmtId="0" fontId="13" fillId="0" borderId="39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36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13" fillId="0" borderId="39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3" fillId="0" borderId="43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3" fillId="0" borderId="36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3625990</xdr:colOff>
      <xdr:row>0</xdr:row>
      <xdr:rowOff>122106</xdr:rowOff>
    </xdr:from>
    <xdr:ext cx="838631" cy="498783"/>
    <xdr:pic>
      <xdr:nvPicPr>
        <xdr:cNvPr id="2" name="image1.png">
          <a:extLst>
            <a:ext uri="{FF2B5EF4-FFF2-40B4-BE49-F238E27FC236}">
              <a16:creationId xmlns:a16="http://schemas.microsoft.com/office/drawing/2014/main" id="{47B3D821-E78A-4853-9AD3-6ED365F9E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9379" y="122106"/>
          <a:ext cx="838631" cy="498783"/>
        </a:xfrm>
        <a:prstGeom prst="rect">
          <a:avLst/>
        </a:prstGeom>
        <a:ln>
          <a:solidFill>
            <a:srgbClr val="FF0000"/>
          </a:solidFill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keting@phoenixplastowar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0AB5-E445-4BC5-B009-70D95ACF1015}">
  <sheetPr>
    <pageSetUpPr fitToPage="1"/>
  </sheetPr>
  <dimension ref="A1:L42"/>
  <sheetViews>
    <sheetView tabSelected="1" topLeftCell="B22" zoomScale="92" zoomScaleNormal="49" workbookViewId="0">
      <selection activeCell="A4" sqref="A4:J4"/>
    </sheetView>
  </sheetViews>
  <sheetFormatPr defaultRowHeight="13.2"/>
  <cols>
    <col min="1" max="1" width="4.33203125" style="16" bestFit="1" customWidth="1"/>
    <col min="2" max="2" width="18.6640625" style="16" customWidth="1"/>
    <col min="3" max="3" width="67.21875" style="16" customWidth="1"/>
    <col min="4" max="4" width="28.109375" style="16" customWidth="1"/>
    <col min="5" max="5" width="12.33203125" style="16" customWidth="1"/>
    <col min="6" max="6" width="16.44140625" style="16" customWidth="1"/>
    <col min="7" max="7" width="6.77734375" style="16" bestFit="1" customWidth="1"/>
    <col min="8" max="8" width="15.6640625" style="16" bestFit="1" customWidth="1"/>
    <col min="9" max="9" width="7" style="16" customWidth="1"/>
    <col min="10" max="10" width="40.44140625" style="16" customWidth="1"/>
    <col min="12" max="16384" width="8.88671875" style="16"/>
  </cols>
  <sheetData>
    <row r="1" spans="1:10" ht="53.25" customHeight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4"/>
    </row>
    <row r="2" spans="1:10" ht="29.25" customHeight="1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ht="29.25" customHeight="1">
      <c r="A3" s="25" t="s">
        <v>35</v>
      </c>
      <c r="B3" s="26"/>
      <c r="C3" s="26"/>
      <c r="D3" s="26"/>
      <c r="E3" s="26"/>
      <c r="F3" s="26"/>
      <c r="G3" s="26"/>
      <c r="H3" s="26"/>
      <c r="I3" s="26"/>
      <c r="J3" s="27"/>
    </row>
    <row r="4" spans="1:10" ht="29.25" customHeight="1">
      <c r="A4" s="25" t="s">
        <v>2</v>
      </c>
      <c r="B4" s="26"/>
      <c r="C4" s="26"/>
      <c r="D4" s="26"/>
      <c r="E4" s="26"/>
      <c r="F4" s="26"/>
      <c r="G4" s="26"/>
      <c r="H4" s="26"/>
      <c r="I4" s="26"/>
      <c r="J4" s="27"/>
    </row>
    <row r="5" spans="1:10" ht="29.25" customHeight="1">
      <c r="A5" s="28" t="s">
        <v>3</v>
      </c>
      <c r="B5" s="26"/>
      <c r="C5" s="26"/>
      <c r="D5" s="26"/>
      <c r="E5" s="26"/>
      <c r="F5" s="26"/>
      <c r="G5" s="26"/>
      <c r="H5" s="26"/>
      <c r="I5" s="26"/>
      <c r="J5" s="27"/>
    </row>
    <row r="6" spans="1:10" ht="29.25" customHeight="1">
      <c r="A6" s="18" t="s">
        <v>34</v>
      </c>
      <c r="B6" s="19"/>
      <c r="C6" s="19"/>
      <c r="D6" s="19"/>
      <c r="E6" s="19"/>
      <c r="F6" s="20"/>
      <c r="G6" s="20"/>
      <c r="H6" s="20"/>
      <c r="I6" s="20"/>
      <c r="J6" s="21"/>
    </row>
    <row r="7" spans="1:10" ht="30.75" customHeight="1">
      <c r="A7" s="29" t="s">
        <v>4</v>
      </c>
      <c r="B7" s="30"/>
      <c r="C7" s="31" t="s">
        <v>42</v>
      </c>
      <c r="D7" s="32"/>
      <c r="E7" s="32"/>
      <c r="F7" s="33" t="s">
        <v>5</v>
      </c>
      <c r="G7" s="33"/>
      <c r="H7" s="34"/>
      <c r="I7" s="33"/>
      <c r="J7" s="35"/>
    </row>
    <row r="8" spans="1:10" ht="39.75" customHeight="1">
      <c r="A8" s="29" t="s">
        <v>6</v>
      </c>
      <c r="B8" s="30"/>
      <c r="C8" s="36" t="s">
        <v>43</v>
      </c>
      <c r="D8" s="37"/>
      <c r="E8" s="37"/>
      <c r="F8" s="33" t="s">
        <v>7</v>
      </c>
      <c r="G8" s="33"/>
      <c r="H8" s="33"/>
      <c r="I8" s="33"/>
      <c r="J8" s="35"/>
    </row>
    <row r="9" spans="1:10" ht="34.5" customHeight="1">
      <c r="A9" s="29" t="s">
        <v>8</v>
      </c>
      <c r="B9" s="30"/>
      <c r="C9" s="38" t="s">
        <v>9</v>
      </c>
      <c r="D9" s="39"/>
      <c r="E9" s="39"/>
      <c r="F9" s="33" t="s">
        <v>10</v>
      </c>
      <c r="G9" s="33"/>
      <c r="H9" s="33"/>
      <c r="I9" s="33"/>
      <c r="J9" s="35"/>
    </row>
    <row r="10" spans="1:10" ht="38.25" customHeight="1">
      <c r="A10" s="40" t="s">
        <v>11</v>
      </c>
      <c r="B10" s="41"/>
      <c r="C10" s="4" t="s">
        <v>12</v>
      </c>
      <c r="D10" s="5" t="s">
        <v>13</v>
      </c>
      <c r="E10" s="5">
        <v>36</v>
      </c>
      <c r="F10" s="42"/>
      <c r="G10" s="43"/>
      <c r="H10" s="44"/>
      <c r="I10" s="45"/>
      <c r="J10" s="46"/>
    </row>
    <row r="11" spans="1:10" ht="15">
      <c r="A11" s="47" t="s">
        <v>14</v>
      </c>
      <c r="B11" s="48"/>
      <c r="C11" s="48"/>
      <c r="D11" s="48"/>
      <c r="E11" s="49" t="s">
        <v>15</v>
      </c>
      <c r="F11" s="50"/>
      <c r="G11" s="50"/>
      <c r="H11" s="50"/>
      <c r="I11" s="50"/>
      <c r="J11" s="51"/>
    </row>
    <row r="12" spans="1:10" ht="15">
      <c r="A12" s="59" t="s">
        <v>36</v>
      </c>
      <c r="B12" s="60"/>
      <c r="C12" s="60"/>
      <c r="D12" s="61"/>
      <c r="E12" s="66" t="s">
        <v>36</v>
      </c>
      <c r="F12" s="60"/>
      <c r="G12" s="60"/>
      <c r="H12" s="60"/>
      <c r="I12" s="60"/>
      <c r="J12" s="67"/>
    </row>
    <row r="13" spans="1:10" ht="15.75" customHeight="1">
      <c r="A13" s="65" t="s">
        <v>37</v>
      </c>
      <c r="B13" s="63"/>
      <c r="C13" s="63"/>
      <c r="D13" s="64"/>
      <c r="E13" s="68" t="s">
        <v>37</v>
      </c>
      <c r="F13" s="63"/>
      <c r="G13" s="63"/>
      <c r="H13" s="63"/>
      <c r="I13" s="63"/>
      <c r="J13" s="69"/>
    </row>
    <row r="14" spans="1:10" ht="15.75" customHeight="1">
      <c r="A14" s="65" t="s">
        <v>38</v>
      </c>
      <c r="B14" s="63"/>
      <c r="C14" s="63"/>
      <c r="D14" s="64"/>
      <c r="E14" s="68" t="s">
        <v>38</v>
      </c>
      <c r="F14" s="63"/>
      <c r="G14" s="63"/>
      <c r="H14" s="63"/>
      <c r="I14" s="63"/>
      <c r="J14" s="69"/>
    </row>
    <row r="15" spans="1:10" ht="15">
      <c r="A15" s="62" t="s">
        <v>39</v>
      </c>
      <c r="B15" s="63"/>
      <c r="C15" s="63"/>
      <c r="D15" s="64"/>
      <c r="E15" s="68" t="s">
        <v>39</v>
      </c>
      <c r="F15" s="63"/>
      <c r="G15" s="63"/>
      <c r="H15" s="63"/>
      <c r="I15" s="63"/>
      <c r="J15" s="69"/>
    </row>
    <row r="16" spans="1:10" ht="15">
      <c r="A16" s="62"/>
      <c r="B16" s="63"/>
      <c r="C16" s="63"/>
      <c r="D16" s="63"/>
      <c r="E16" s="63"/>
      <c r="F16" s="63"/>
      <c r="G16" s="63"/>
      <c r="H16" s="63"/>
      <c r="I16" s="63"/>
      <c r="J16" s="69"/>
    </row>
    <row r="17" spans="1:12" ht="15.6">
      <c r="A17" s="52" t="s">
        <v>16</v>
      </c>
      <c r="B17" s="53"/>
      <c r="C17" s="54" t="s">
        <v>40</v>
      </c>
      <c r="D17" s="55"/>
      <c r="E17" s="55"/>
      <c r="F17" s="1" t="s">
        <v>17</v>
      </c>
      <c r="G17" s="56"/>
      <c r="H17" s="57"/>
      <c r="I17" s="57"/>
      <c r="J17" s="58"/>
    </row>
    <row r="18" spans="1:12" ht="15.6">
      <c r="A18" s="70" t="s">
        <v>11</v>
      </c>
      <c r="B18" s="71"/>
      <c r="C18" s="72" t="s">
        <v>41</v>
      </c>
      <c r="D18" s="73"/>
      <c r="E18" s="73"/>
      <c r="F18" s="1" t="s">
        <v>13</v>
      </c>
      <c r="G18" s="74">
        <v>36</v>
      </c>
      <c r="H18" s="75"/>
      <c r="I18" s="75"/>
      <c r="J18" s="76"/>
    </row>
    <row r="19" spans="1:12" ht="15.6">
      <c r="A19" s="77"/>
      <c r="B19" s="78"/>
      <c r="C19" s="78"/>
      <c r="D19" s="78"/>
      <c r="E19" s="78"/>
      <c r="F19" s="79"/>
      <c r="G19" s="79"/>
      <c r="H19" s="79"/>
      <c r="I19" s="79"/>
      <c r="J19" s="80"/>
    </row>
    <row r="20" spans="1:12" ht="49.5" customHeight="1">
      <c r="A20" s="10" t="s">
        <v>18</v>
      </c>
      <c r="B20" s="3" t="s">
        <v>19</v>
      </c>
      <c r="C20" s="3" t="s">
        <v>20</v>
      </c>
      <c r="D20" s="3" t="s">
        <v>21</v>
      </c>
      <c r="E20" s="81" t="s">
        <v>22</v>
      </c>
      <c r="F20" s="82"/>
      <c r="G20" s="81" t="s">
        <v>23</v>
      </c>
      <c r="H20" s="82"/>
      <c r="I20" s="81" t="s">
        <v>24</v>
      </c>
      <c r="J20" s="83"/>
    </row>
    <row r="21" spans="1:12" ht="49.5" customHeight="1">
      <c r="A21" s="11">
        <v>1</v>
      </c>
      <c r="B21" s="12">
        <v>39269099</v>
      </c>
      <c r="C21" s="14" t="s">
        <v>44</v>
      </c>
      <c r="D21" s="13">
        <v>3050</v>
      </c>
      <c r="E21" s="84">
        <v>9.5</v>
      </c>
      <c r="F21" s="85"/>
      <c r="G21" s="86">
        <f>+G22+G23</f>
        <v>44125.399999999994</v>
      </c>
      <c r="H21" s="86"/>
      <c r="I21" s="87"/>
      <c r="J21" s="88"/>
      <c r="K21">
        <v>12</v>
      </c>
    </row>
    <row r="22" spans="1:12" ht="49.5" customHeight="1">
      <c r="A22" s="11">
        <v>2</v>
      </c>
      <c r="B22" s="12">
        <v>39269099</v>
      </c>
      <c r="C22" s="14" t="s">
        <v>45</v>
      </c>
      <c r="D22" s="13">
        <v>2722</v>
      </c>
      <c r="E22" s="84">
        <v>10.7</v>
      </c>
      <c r="F22" s="85"/>
      <c r="G22" s="86">
        <f t="shared" ref="G22" si="0">D22*E22</f>
        <v>29125.399999999998</v>
      </c>
      <c r="H22" s="86"/>
      <c r="I22" s="87"/>
      <c r="J22" s="88"/>
      <c r="K22">
        <v>12</v>
      </c>
    </row>
    <row r="23" spans="1:12" ht="49.5" customHeight="1">
      <c r="A23" s="11">
        <v>3</v>
      </c>
      <c r="B23" s="12">
        <v>39249090</v>
      </c>
      <c r="C23" s="14" t="s">
        <v>46</v>
      </c>
      <c r="D23" s="13">
        <v>10000</v>
      </c>
      <c r="E23" s="84">
        <v>1.5</v>
      </c>
      <c r="F23" s="85"/>
      <c r="G23" s="86">
        <f t="shared" ref="G23" si="1">D23*E23</f>
        <v>15000</v>
      </c>
      <c r="H23" s="86"/>
      <c r="I23" s="87"/>
      <c r="J23" s="88"/>
      <c r="K23">
        <v>18</v>
      </c>
    </row>
    <row r="24" spans="1:12" ht="49.5" customHeight="1">
      <c r="A24" s="11"/>
      <c r="B24" s="12"/>
      <c r="C24" s="14"/>
      <c r="D24" s="13"/>
      <c r="E24" s="84"/>
      <c r="F24" s="85"/>
      <c r="G24" s="86"/>
      <c r="H24" s="86"/>
      <c r="I24" s="87"/>
      <c r="J24" s="88"/>
    </row>
    <row r="25" spans="1:12" ht="49.5" customHeight="1">
      <c r="A25" s="127" t="s">
        <v>25</v>
      </c>
      <c r="B25" s="128"/>
      <c r="C25" s="128"/>
      <c r="D25" s="128"/>
      <c r="E25" s="129"/>
      <c r="F25" s="106" t="s">
        <v>26</v>
      </c>
      <c r="G25" s="107"/>
      <c r="H25" s="109">
        <f>+G21+G22+G23</f>
        <v>88250.799999999988</v>
      </c>
      <c r="I25" s="96"/>
      <c r="J25" s="97"/>
    </row>
    <row r="26" spans="1:12" ht="15.75" customHeight="1">
      <c r="A26" s="130" t="s">
        <v>47</v>
      </c>
      <c r="B26" s="131"/>
      <c r="C26" s="131"/>
      <c r="D26" s="131"/>
      <c r="E26" s="132"/>
      <c r="F26" s="102"/>
      <c r="G26" s="108"/>
      <c r="H26" s="110"/>
      <c r="I26" s="96"/>
      <c r="J26" s="97"/>
    </row>
    <row r="27" spans="1:12" ht="31.5" customHeight="1">
      <c r="A27" s="133"/>
      <c r="B27" s="134"/>
      <c r="C27" s="134"/>
      <c r="D27" s="134"/>
      <c r="E27" s="135"/>
      <c r="F27" s="6" t="s">
        <v>27</v>
      </c>
      <c r="G27" s="7">
        <v>0.12</v>
      </c>
      <c r="H27" s="8">
        <f>L27*12%</f>
        <v>8790.0959999999977</v>
      </c>
      <c r="I27" s="96"/>
      <c r="J27" s="97"/>
      <c r="L27" s="17">
        <f>+G21+G22</f>
        <v>73250.799999999988</v>
      </c>
    </row>
    <row r="28" spans="1:12" ht="31.5" customHeight="1">
      <c r="A28" s="133"/>
      <c r="B28" s="134"/>
      <c r="C28" s="134"/>
      <c r="D28" s="134"/>
      <c r="E28" s="135"/>
      <c r="F28" s="6" t="s">
        <v>27</v>
      </c>
      <c r="G28" s="7">
        <v>0.18</v>
      </c>
      <c r="H28" s="15">
        <f>L28*18%</f>
        <v>2700</v>
      </c>
      <c r="I28" s="96"/>
      <c r="J28" s="97"/>
      <c r="L28" s="17">
        <f>G23</f>
        <v>15000</v>
      </c>
    </row>
    <row r="29" spans="1:12" ht="15">
      <c r="A29" s="133"/>
      <c r="B29" s="134"/>
      <c r="C29" s="134"/>
      <c r="D29" s="134"/>
      <c r="E29" s="135"/>
      <c r="F29" s="138" t="s">
        <v>28</v>
      </c>
      <c r="G29" s="139"/>
      <c r="H29" s="9">
        <v>0.1</v>
      </c>
      <c r="I29" s="96"/>
      <c r="J29" s="97"/>
    </row>
    <row r="30" spans="1:12" ht="15">
      <c r="A30" s="136"/>
      <c r="B30" s="137"/>
      <c r="C30" s="137"/>
      <c r="D30" s="137"/>
      <c r="E30" s="137"/>
      <c r="F30" s="140"/>
      <c r="G30" s="141"/>
      <c r="H30" s="2"/>
      <c r="I30" s="96"/>
      <c r="J30" s="97"/>
    </row>
    <row r="31" spans="1:12" ht="15.75" customHeight="1">
      <c r="A31" s="111"/>
      <c r="B31" s="112"/>
      <c r="C31" s="112"/>
      <c r="D31" s="112"/>
      <c r="E31" s="113"/>
      <c r="F31" s="100" t="s">
        <v>29</v>
      </c>
      <c r="G31" s="101"/>
      <c r="H31" s="104">
        <f>+H25+H27+H28+H29</f>
        <v>99740.995999999985</v>
      </c>
      <c r="I31" s="96"/>
      <c r="J31" s="97"/>
    </row>
    <row r="32" spans="1:12" ht="37.5" customHeight="1">
      <c r="A32" s="114"/>
      <c r="B32" s="115"/>
      <c r="C32" s="115"/>
      <c r="D32" s="115"/>
      <c r="E32" s="116"/>
      <c r="F32" s="102"/>
      <c r="G32" s="103"/>
      <c r="H32" s="105"/>
      <c r="I32" s="96"/>
      <c r="J32" s="97"/>
    </row>
    <row r="33" spans="1:10">
      <c r="A33" s="117" t="s">
        <v>30</v>
      </c>
      <c r="B33" s="118"/>
      <c r="C33" s="118"/>
      <c r="D33" s="118"/>
      <c r="E33" s="120" t="s">
        <v>31</v>
      </c>
      <c r="F33" s="121"/>
      <c r="G33" s="121"/>
      <c r="H33" s="122"/>
      <c r="I33" s="122"/>
      <c r="J33" s="123"/>
    </row>
    <row r="34" spans="1:10" ht="48" customHeight="1">
      <c r="A34" s="119"/>
      <c r="B34" s="103"/>
      <c r="C34" s="103"/>
      <c r="D34" s="103"/>
      <c r="E34" s="124"/>
      <c r="F34" s="125"/>
      <c r="G34" s="125"/>
      <c r="H34" s="125"/>
      <c r="I34" s="125"/>
      <c r="J34" s="126"/>
    </row>
    <row r="35" spans="1:10" ht="15.6">
      <c r="A35" s="40" t="s">
        <v>32</v>
      </c>
      <c r="B35" s="39"/>
      <c r="C35" s="39"/>
      <c r="D35" s="39"/>
      <c r="E35" s="39"/>
      <c r="F35" s="93" t="s">
        <v>33</v>
      </c>
      <c r="G35" s="94"/>
      <c r="H35" s="94"/>
      <c r="I35" s="94"/>
      <c r="J35" s="95"/>
    </row>
    <row r="36" spans="1:10">
      <c r="A36" s="89"/>
      <c r="B36" s="90"/>
      <c r="C36" s="90"/>
      <c r="D36" s="90"/>
      <c r="E36" s="90"/>
      <c r="F36" s="96"/>
      <c r="G36" s="96"/>
      <c r="H36" s="96"/>
      <c r="I36" s="96"/>
      <c r="J36" s="97"/>
    </row>
    <row r="37" spans="1:10">
      <c r="A37" s="89"/>
      <c r="B37" s="90"/>
      <c r="C37" s="90"/>
      <c r="D37" s="90"/>
      <c r="E37" s="90"/>
      <c r="F37" s="96"/>
      <c r="G37" s="96"/>
      <c r="H37" s="96"/>
      <c r="I37" s="96"/>
      <c r="J37" s="97"/>
    </row>
    <row r="38" spans="1:10">
      <c r="A38" s="89"/>
      <c r="B38" s="90"/>
      <c r="C38" s="90"/>
      <c r="D38" s="90"/>
      <c r="E38" s="90"/>
      <c r="F38" s="96"/>
      <c r="G38" s="96"/>
      <c r="H38" s="96"/>
      <c r="I38" s="96"/>
      <c r="J38" s="97"/>
    </row>
    <row r="39" spans="1:10">
      <c r="A39" s="89"/>
      <c r="B39" s="90"/>
      <c r="C39" s="90"/>
      <c r="D39" s="90"/>
      <c r="E39" s="90"/>
      <c r="F39" s="96"/>
      <c r="G39" s="96"/>
      <c r="H39" s="96"/>
      <c r="I39" s="96"/>
      <c r="J39" s="97"/>
    </row>
    <row r="40" spans="1:10">
      <c r="A40" s="89"/>
      <c r="B40" s="90"/>
      <c r="C40" s="90"/>
      <c r="D40" s="90"/>
      <c r="E40" s="90"/>
      <c r="F40" s="96"/>
      <c r="G40" s="96"/>
      <c r="H40" s="96"/>
      <c r="I40" s="96"/>
      <c r="J40" s="97"/>
    </row>
    <row r="41" spans="1:10">
      <c r="A41" s="89"/>
      <c r="B41" s="90"/>
      <c r="C41" s="90"/>
      <c r="D41" s="90"/>
      <c r="E41" s="90"/>
      <c r="F41" s="96"/>
      <c r="G41" s="96"/>
      <c r="H41" s="96"/>
      <c r="I41" s="96"/>
      <c r="J41" s="97"/>
    </row>
    <row r="42" spans="1:10" ht="20.25" customHeight="1" thickBot="1">
      <c r="A42" s="91"/>
      <c r="B42" s="92"/>
      <c r="C42" s="92"/>
      <c r="D42" s="92"/>
      <c r="E42" s="92"/>
      <c r="F42" s="98"/>
      <c r="G42" s="98"/>
      <c r="H42" s="98"/>
      <c r="I42" s="98"/>
      <c r="J42" s="99"/>
    </row>
  </sheetData>
  <mergeCells count="70">
    <mergeCell ref="A35:E42"/>
    <mergeCell ref="F35:J35"/>
    <mergeCell ref="F36:J42"/>
    <mergeCell ref="F31:G32"/>
    <mergeCell ref="H31:H32"/>
    <mergeCell ref="I25:J32"/>
    <mergeCell ref="F25:G26"/>
    <mergeCell ref="H25:H26"/>
    <mergeCell ref="A31:E32"/>
    <mergeCell ref="A33:D34"/>
    <mergeCell ref="E33:J34"/>
    <mergeCell ref="A25:E25"/>
    <mergeCell ref="A26:E30"/>
    <mergeCell ref="F29:G29"/>
    <mergeCell ref="F30:G30"/>
    <mergeCell ref="E24:F24"/>
    <mergeCell ref="G24:H24"/>
    <mergeCell ref="I24:J24"/>
    <mergeCell ref="E23:F23"/>
    <mergeCell ref="G23:H23"/>
    <mergeCell ref="I23:J23"/>
    <mergeCell ref="E21:F21"/>
    <mergeCell ref="G21:H21"/>
    <mergeCell ref="I21:J21"/>
    <mergeCell ref="E22:F22"/>
    <mergeCell ref="G22:H22"/>
    <mergeCell ref="I22:J22"/>
    <mergeCell ref="A18:B18"/>
    <mergeCell ref="C18:E18"/>
    <mergeCell ref="G18:J18"/>
    <mergeCell ref="A19:J19"/>
    <mergeCell ref="E20:F20"/>
    <mergeCell ref="G20:H20"/>
    <mergeCell ref="I20:J20"/>
    <mergeCell ref="A11:D11"/>
    <mergeCell ref="E11:J11"/>
    <mergeCell ref="A17:B17"/>
    <mergeCell ref="C17:E17"/>
    <mergeCell ref="G17:J17"/>
    <mergeCell ref="A12:D12"/>
    <mergeCell ref="A15:D15"/>
    <mergeCell ref="A13:D13"/>
    <mergeCell ref="A14:D14"/>
    <mergeCell ref="A16:D16"/>
    <mergeCell ref="E12:J12"/>
    <mergeCell ref="E13:J13"/>
    <mergeCell ref="E14:J14"/>
    <mergeCell ref="E16:J16"/>
    <mergeCell ref="E15:J15"/>
    <mergeCell ref="A9:B9"/>
    <mergeCell ref="C9:E9"/>
    <mergeCell ref="F9:G9"/>
    <mergeCell ref="H9:J9"/>
    <mergeCell ref="A10:B10"/>
    <mergeCell ref="F10:G10"/>
    <mergeCell ref="H10:J10"/>
    <mergeCell ref="A7:B7"/>
    <mergeCell ref="C7:E7"/>
    <mergeCell ref="F7:G7"/>
    <mergeCell ref="H7:J7"/>
    <mergeCell ref="A8:B8"/>
    <mergeCell ref="C8:E8"/>
    <mergeCell ref="F8:G8"/>
    <mergeCell ref="H8:J8"/>
    <mergeCell ref="A6:J6"/>
    <mergeCell ref="A1:J1"/>
    <mergeCell ref="A2:J2"/>
    <mergeCell ref="A3:J3"/>
    <mergeCell ref="A4:J4"/>
    <mergeCell ref="A5:J5"/>
  </mergeCells>
  <hyperlinks>
    <hyperlink ref="A4" r:id="rId1" xr:uid="{9CA8DD99-5A9A-4CDF-8527-CF27D5ADF27D}"/>
  </hyperlinks>
  <pageMargins left="0.7" right="0.7" top="0.75" bottom="0.75" header="0.3" footer="0.3"/>
  <pageSetup scale="52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 Hemanth</cp:lastModifiedBy>
  <cp:lastPrinted>2025-06-02T12:59:50Z</cp:lastPrinted>
  <dcterms:created xsi:type="dcterms:W3CDTF">2024-04-23T05:35:00Z</dcterms:created>
  <dcterms:modified xsi:type="dcterms:W3CDTF">2026-01-27T01:42:48Z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2D3958A1B13B4B09B791CD984A7AC303_12</vt:lpwstr>
  </property>
  <property fmtid="{D5CDD505-2E9C-101B-9397-08002B2CF9AE}" pid="3" name="KSOProductBuildVer">
    <vt:lpwstr>1033-12.2.0.18165</vt:lpwstr>
  </property>
</Properties>
</file>